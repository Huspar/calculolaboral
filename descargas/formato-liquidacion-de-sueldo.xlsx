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quidación" sheetId="1" state="visible" r:id="rId1"/>
    <sheet xmlns:r="http://schemas.openxmlformats.org/officeDocument/2006/relationships" name="Parámetros" sheetId="2" state="visible" r:id="rId2"/>
  </sheets>
  <definedNames>
    <definedName name="_xlnm.Print_Area" localSheetId="0">'Liquidación'!$A$1:$B$56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-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00382E"/>
      <sz val="12"/>
    </font>
    <font>
      <b val="1"/>
    </font>
    <font>
      <b val="1"/>
      <color rgb="00FFFFFF"/>
      <sz val="14"/>
    </font>
    <font>
      <i val="1"/>
      <color rgb="00475569"/>
      <sz val="9"/>
    </font>
    <font>
      <b val="1"/>
      <color rgb="0000382E"/>
    </font>
    <font>
      <color rgb="00475569"/>
      <sz val="9"/>
    </font>
    <font>
      <i val="1"/>
      <color rgb="00475569"/>
      <sz val="8"/>
    </font>
  </fonts>
  <fills count="7">
    <fill>
      <patternFill/>
    </fill>
    <fill>
      <patternFill patternType="gray125"/>
    </fill>
    <fill>
      <patternFill patternType="solid">
        <fgColor rgb="0000382E"/>
      </patternFill>
    </fill>
    <fill>
      <patternFill patternType="solid">
        <fgColor rgb="00E8F0EE"/>
      </patternFill>
    </fill>
    <fill>
      <patternFill patternType="solid">
        <fgColor rgb="00FFFBEA"/>
      </patternFill>
    </fill>
    <fill>
      <patternFill patternType="solid">
        <fgColor rgb="00FFF4D6"/>
      </patternFill>
    </fill>
    <fill>
      <patternFill patternType="solid">
        <fgColor rgb="00FFB703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2" fillId="0" borderId="1" pivotButton="0" quotePrefix="0" xfId="0"/>
    <xf numFmtId="164" fontId="2" fillId="0" borderId="1" applyAlignment="1" pivotButton="0" quotePrefix="0" xfId="0">
      <alignment horizontal="right"/>
    </xf>
    <xf numFmtId="0" fontId="2" fillId="5" borderId="1" pivotButton="0" quotePrefix="0" xfId="0"/>
    <xf numFmtId="164" fontId="2" fillId="5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2" fillId="6" borderId="1" pivotButton="0" quotePrefix="0" xfId="0"/>
    <xf numFmtId="164" fontId="2" fillId="6" borderId="1" applyAlignment="1" pivotButton="0" quotePrefix="0" xfId="0">
      <alignment horizontal="right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5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 ht="26" customHeight="1">
      <c r="A1" s="1" t="inlineStr">
        <is>
          <t>LIQUIDACIÓN DE SUELDO</t>
        </is>
      </c>
    </row>
    <row r="2">
      <c r="A2" s="2" t="inlineStr">
        <is>
          <t>Las celdas amarillas se llenan a mano. El resto se calcula solo.</t>
        </is>
      </c>
    </row>
    <row r="4">
      <c r="A4" s="3" t="inlineStr">
        <is>
          <t>Datos del empleador</t>
        </is>
      </c>
    </row>
    <row r="5">
      <c r="A5" s="4" t="inlineStr">
        <is>
          <t>Razón social</t>
        </is>
      </c>
      <c r="B5" s="5" t="inlineStr"/>
    </row>
    <row r="6">
      <c r="A6" s="4" t="inlineStr">
        <is>
          <t>RUT empleador</t>
        </is>
      </c>
      <c r="B6" s="5" t="inlineStr"/>
    </row>
    <row r="7">
      <c r="A7" s="4" t="inlineStr">
        <is>
          <t>Dirección</t>
        </is>
      </c>
      <c r="B7" s="5" t="inlineStr"/>
    </row>
    <row r="9">
      <c r="A9" s="3" t="inlineStr">
        <is>
          <t>Datos del trabajador</t>
        </is>
      </c>
    </row>
    <row r="10">
      <c r="A10" s="4" t="inlineStr">
        <is>
          <t>Nombre completo</t>
        </is>
      </c>
      <c r="B10" s="5" t="inlineStr"/>
    </row>
    <row r="11">
      <c r="A11" s="4" t="inlineStr">
        <is>
          <t>RUT trabajador</t>
        </is>
      </c>
      <c r="B11" s="5" t="inlineStr"/>
    </row>
    <row r="12">
      <c r="A12" s="4" t="inlineStr">
        <is>
          <t>Cargo</t>
        </is>
      </c>
      <c r="B12" s="5" t="inlineStr"/>
    </row>
    <row r="13">
      <c r="A13" s="4" t="inlineStr">
        <is>
          <t>Fecha de ingreso</t>
        </is>
      </c>
      <c r="B13" s="5" t="inlineStr"/>
    </row>
    <row r="14">
      <c r="A14" s="4" t="inlineStr">
        <is>
          <t>Tipo de contrato</t>
        </is>
      </c>
      <c r="B14" s="5" t="inlineStr">
        <is>
          <t>Indefinido</t>
        </is>
      </c>
    </row>
    <row r="15">
      <c r="A15" s="4" t="inlineStr">
        <is>
          <t>AFP</t>
        </is>
      </c>
      <c r="B15" s="5" t="inlineStr">
        <is>
          <t>Modelo</t>
        </is>
      </c>
    </row>
    <row r="16">
      <c r="A16" s="4" t="inlineStr">
        <is>
          <t>Sistema de salud</t>
        </is>
      </c>
      <c r="B16" s="5" t="inlineStr">
        <is>
          <t>Fonasa</t>
        </is>
      </c>
    </row>
    <row r="17">
      <c r="A17" s="4" t="inlineStr">
        <is>
          <t>Plan Isapre pactado en pesos (si aplica)</t>
        </is>
      </c>
      <c r="B17" s="6" t="n">
        <v>0</v>
      </c>
    </row>
    <row r="18">
      <c r="A18" s="4" t="inlineStr">
        <is>
          <t>Período (mes y año)</t>
        </is>
      </c>
      <c r="B18" s="5" t="inlineStr"/>
    </row>
    <row r="19">
      <c r="A19" s="4" t="inlineStr">
        <is>
          <t>Días trabajados</t>
        </is>
      </c>
      <c r="B19" s="5" t="n">
        <v>30</v>
      </c>
    </row>
    <row r="21">
      <c r="A21" s="3" t="inlineStr">
        <is>
          <t>Haberes imponibles</t>
        </is>
      </c>
    </row>
    <row r="22">
      <c r="A22" s="4" t="inlineStr">
        <is>
          <t>Sueldo base</t>
        </is>
      </c>
      <c r="B22" s="6" t="n">
        <v>553553</v>
      </c>
    </row>
    <row r="23">
      <c r="A23" s="4" t="inlineStr">
        <is>
          <t>Gratificación</t>
        </is>
      </c>
      <c r="B23" s="6" t="n">
        <v>0</v>
      </c>
    </row>
    <row r="24">
      <c r="A24" s="4" t="inlineStr">
        <is>
          <t>Horas extra</t>
        </is>
      </c>
      <c r="B24" s="6" t="n">
        <v>0</v>
      </c>
    </row>
    <row r="25">
      <c r="A25" s="4" t="inlineStr">
        <is>
          <t>Comisiones y bonos</t>
        </is>
      </c>
      <c r="B25" s="6" t="n">
        <v>0</v>
      </c>
    </row>
    <row r="26">
      <c r="A26" s="7" t="inlineStr">
        <is>
          <t>Total imponible</t>
        </is>
      </c>
      <c r="B26" s="8">
        <f>SUM(B22:B25)</f>
        <v/>
      </c>
    </row>
    <row r="28">
      <c r="A28" s="3" t="inlineStr">
        <is>
          <t>Haberes no imponibles</t>
        </is>
      </c>
    </row>
    <row r="29">
      <c r="A29" s="4" t="inlineStr">
        <is>
          <t>Colación</t>
        </is>
      </c>
      <c r="B29" s="6" t="n">
        <v>0</v>
      </c>
    </row>
    <row r="30">
      <c r="A30" s="4" t="inlineStr">
        <is>
          <t>Movilización</t>
        </is>
      </c>
      <c r="B30" s="6" t="n">
        <v>0</v>
      </c>
    </row>
    <row r="31">
      <c r="A31" s="4" t="inlineStr">
        <is>
          <t>Viáticos</t>
        </is>
      </c>
      <c r="B31" s="6" t="n">
        <v>0</v>
      </c>
    </row>
    <row r="32">
      <c r="A32" s="7" t="inlineStr">
        <is>
          <t>Total no imponible</t>
        </is>
      </c>
      <c r="B32" s="8">
        <f>SUM(B29:B31)</f>
        <v/>
      </c>
    </row>
    <row r="33">
      <c r="A33" s="9" t="inlineStr">
        <is>
          <t>TOTAL HABERES</t>
        </is>
      </c>
      <c r="B33" s="10">
        <f>B26+B32</f>
        <v/>
      </c>
    </row>
    <row r="35">
      <c r="A35" s="3" t="inlineStr">
        <is>
          <t>Descuentos legales</t>
        </is>
      </c>
    </row>
    <row r="36">
      <c r="A36" s="4" t="inlineStr">
        <is>
          <t>AFP (10% + comisión)</t>
        </is>
      </c>
      <c r="B36" s="11">
        <f>ROUND(MIN(B26,'Parámetros'!$B$5*'Parámetros'!$B$4)*VLOOKUP(B15,'Parámetros'!$A$10:$B$16,2,FALSE),0)</f>
        <v/>
      </c>
    </row>
    <row r="37">
      <c r="A37" s="4" t="inlineStr">
        <is>
          <t>Salud (7% Fonasa o plan Isapre)</t>
        </is>
      </c>
      <c r="B37" s="11">
        <f>IF(B16="Isapre",MAX(ROUND(MIN(B26,'Parámetros'!$B$5*'Parámetros'!$B$4)*0.07,0),B17),ROUND(MIN(B26,'Parámetros'!$B$5*'Parámetros'!$B$4)*0.07,0))</f>
        <v/>
      </c>
    </row>
    <row r="38">
      <c r="A38" s="4" t="inlineStr">
        <is>
          <t>Seguro de cesantía (0,6% si es indefinido)</t>
        </is>
      </c>
      <c r="B38" s="11">
        <f>IF(B14="Indefinido",ROUND(MIN(B26,'Parámetros'!$B$6*'Parámetros'!$B$4)*0.006,0),0)</f>
        <v/>
      </c>
    </row>
    <row r="39">
      <c r="A39" s="4" t="inlineStr">
        <is>
          <t>Renta tributable (base del impuesto)</t>
        </is>
      </c>
      <c r="B39" s="11">
        <f>B26-B36-MIN(B37,ROUND(MIN(B26,'Parámetros'!$B$5*'Parámetros'!$B$4)*0.07,0))-B38</f>
        <v/>
      </c>
    </row>
    <row r="40">
      <c r="A40" s="4" t="inlineStr">
        <is>
          <t>Impuesto único de segunda categoría</t>
        </is>
      </c>
      <c r="B40" s="11">
        <f>MAX(0,ROUND(B39*LOOKUP(B39/'Parámetros'!$B$3,'Parámetros'!$A$19:$A$26,'Parámetros'!$B$19:$B$26)-LOOKUP(B39/'Parámetros'!$B$3,'Parámetros'!$A$19:$A$26,'Parámetros'!$C$19:$C$26)*'Parámetros'!$B$3,0))</f>
        <v/>
      </c>
    </row>
    <row r="42">
      <c r="A42" s="3" t="inlineStr">
        <is>
          <t>Otros descuentos</t>
        </is>
      </c>
    </row>
    <row r="43">
      <c r="A43" s="4" t="inlineStr">
        <is>
          <t>Anticipos</t>
        </is>
      </c>
      <c r="B43" s="6" t="n">
        <v>0</v>
      </c>
    </row>
    <row r="44">
      <c r="A44" s="4" t="inlineStr">
        <is>
          <t>Otros descuentos autorizados</t>
        </is>
      </c>
      <c r="B44" s="6" t="n">
        <v>0</v>
      </c>
    </row>
    <row r="45">
      <c r="A45" s="9" t="inlineStr">
        <is>
          <t>TOTAL DESCUENTOS</t>
        </is>
      </c>
      <c r="B45" s="10">
        <f>B36+B37+B38+B40+B43+B44</f>
        <v/>
      </c>
    </row>
    <row r="47">
      <c r="A47" s="12" t="inlineStr">
        <is>
          <t>ALCANCE LÍQUIDO A PAGAR</t>
        </is>
      </c>
      <c r="B47" s="13">
        <f>B33-B45</f>
        <v/>
      </c>
    </row>
    <row r="50" ht="30" customHeight="1">
      <c r="A50" s="14" t="inlineStr">
        <is>
          <t>Certifico que he recibido de mi empleador, a mi entera satisfacción, el alcance líquido de la presente liquidación.</t>
        </is>
      </c>
    </row>
    <row r="53">
      <c r="A53" t="inlineStr">
        <is>
          <t>______________________________</t>
        </is>
      </c>
      <c r="B53" t="inlineStr">
        <is>
          <t>______________________</t>
        </is>
      </c>
    </row>
    <row r="54">
      <c r="A54" t="inlineStr">
        <is>
          <t>Firma del trabajador</t>
        </is>
      </c>
      <c r="B54" t="inlineStr">
        <is>
          <t>Fecha</t>
        </is>
      </c>
    </row>
    <row r="56">
      <c r="A56" s="15" t="inlineStr">
        <is>
          <t>Formato gratuito de calculolaboral.cl/liquidacion-de-sueldo. Es un modelo de referencia; revisa los valores con tu contrato.</t>
        </is>
      </c>
    </row>
  </sheetData>
  <mergeCells count="10">
    <mergeCell ref="A4:B4"/>
    <mergeCell ref="A21:B21"/>
    <mergeCell ref="A2:B2"/>
    <mergeCell ref="A50:B50"/>
    <mergeCell ref="A56:B56"/>
    <mergeCell ref="A28:B28"/>
    <mergeCell ref="A42:B42"/>
    <mergeCell ref="A1:B1"/>
    <mergeCell ref="A9:B9"/>
    <mergeCell ref="A35:B35"/>
  </mergeCells>
  <dataValidations count="3">
    <dataValidation sqref="B14" showDropDown="0" showInputMessage="0" showErrorMessage="0" allowBlank="0" type="list">
      <formula1>"Indefinido,Plazo fijo"</formula1>
    </dataValidation>
    <dataValidation sqref="B15" showDropDown="0" showInputMessage="0" showErrorMessage="0" allowBlank="0" type="list">
      <formula1>='Parámetros'!$A$10:$A$16</formula1>
    </dataValidation>
    <dataValidation sqref="B16" showDropDown="0" showInputMessage="0" showErrorMessage="0" allowBlank="0" type="list">
      <formula1>"Fonasa,Isapre"</formula1>
    </dataValidation>
  </dataValidations>
  <pageMargins left="0.75" right="0.75" top="1" bottom="1" header="0.5" footer="0.5"/>
  <pageSetup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14" customWidth="1" min="3" max="3"/>
  </cols>
  <sheetData>
    <row r="1">
      <c r="A1" s="16" t="inlineStr">
        <is>
          <t>Parámetros 2026 (actualízalos cuando cambien)</t>
        </is>
      </c>
    </row>
    <row r="3">
      <c r="A3" t="inlineStr">
        <is>
          <t>UTM del mes</t>
        </is>
      </c>
      <c r="B3" s="17" t="n">
        <v>71721</v>
      </c>
    </row>
    <row r="4">
      <c r="A4" t="inlineStr">
        <is>
          <t>UF del último día del mes</t>
        </is>
      </c>
      <c r="B4" s="17" t="n">
        <v>40975.41</v>
      </c>
    </row>
    <row r="5">
      <c r="A5" t="inlineStr">
        <is>
          <t>Tope imponible AFP y salud (UF)</t>
        </is>
      </c>
      <c r="B5" t="n">
        <v>89.90000000000001</v>
      </c>
    </row>
    <row r="6">
      <c r="A6" t="inlineStr">
        <is>
          <t>Tope imponible seguro de cesantía (UF)</t>
        </is>
      </c>
      <c r="B6" t="n">
        <v>135.1</v>
      </c>
    </row>
    <row r="7">
      <c r="A7" t="inlineStr">
        <is>
          <t>Ingreso mínimo mensual</t>
        </is>
      </c>
      <c r="B7" s="17" t="n">
        <v>553553</v>
      </c>
    </row>
    <row r="9">
      <c r="A9" s="18" t="inlineStr">
        <is>
          <t>AFP</t>
        </is>
      </c>
      <c r="B9" s="18" t="inlineStr">
        <is>
          <t>Tasa total (10% + comisión)</t>
        </is>
      </c>
    </row>
    <row r="10">
      <c r="A10" t="inlineStr">
        <is>
          <t>Modelo</t>
        </is>
      </c>
      <c r="B10" s="19" t="n">
        <v>0.1058</v>
      </c>
    </row>
    <row r="11">
      <c r="A11" t="inlineStr">
        <is>
          <t>Uno</t>
        </is>
      </c>
      <c r="B11" s="19" t="n">
        <v>0.1069</v>
      </c>
    </row>
    <row r="12">
      <c r="A12" t="inlineStr">
        <is>
          <t>PlanVital</t>
        </is>
      </c>
      <c r="B12" s="19" t="n">
        <v>0.1116</v>
      </c>
    </row>
    <row r="13">
      <c r="A13" t="inlineStr">
        <is>
          <t>Habitat</t>
        </is>
      </c>
      <c r="B13" s="19" t="n">
        <v>0.1127</v>
      </c>
    </row>
    <row r="14">
      <c r="A14" t="inlineStr">
        <is>
          <t>Capital</t>
        </is>
      </c>
      <c r="B14" s="19" t="n">
        <v>0.1144</v>
      </c>
    </row>
    <row r="15">
      <c r="A15" t="inlineStr">
        <is>
          <t>Cuprum</t>
        </is>
      </c>
      <c r="B15" s="19" t="n">
        <v>0.1144</v>
      </c>
    </row>
    <row r="16">
      <c r="A16" t="inlineStr">
        <is>
          <t>Provida</t>
        </is>
      </c>
      <c r="B16" s="19" t="n">
        <v>0.1145</v>
      </c>
    </row>
    <row r="18">
      <c r="A18" s="18" t="inlineStr">
        <is>
          <t>Impuesto único: desde (UTM)</t>
        </is>
      </c>
      <c r="B18" s="18" t="inlineStr">
        <is>
          <t>Factor</t>
        </is>
      </c>
      <c r="C18" s="18" t="inlineStr">
        <is>
          <t>Rebaja (UTM)</t>
        </is>
      </c>
    </row>
    <row r="19">
      <c r="A19" t="n">
        <v>0</v>
      </c>
      <c r="B19" s="20" t="n">
        <v>0</v>
      </c>
      <c r="C19" t="n">
        <v>0</v>
      </c>
    </row>
    <row r="20">
      <c r="A20" t="n">
        <v>13.5</v>
      </c>
      <c r="B20" s="20" t="n">
        <v>0.04</v>
      </c>
      <c r="C20" t="n">
        <v>0.54</v>
      </c>
    </row>
    <row r="21">
      <c r="A21" t="n">
        <v>30</v>
      </c>
      <c r="B21" s="20" t="n">
        <v>0.08</v>
      </c>
      <c r="C21" t="n">
        <v>1.74</v>
      </c>
    </row>
    <row r="22">
      <c r="A22" t="n">
        <v>50</v>
      </c>
      <c r="B22" s="20" t="n">
        <v>0.135</v>
      </c>
      <c r="C22" t="n">
        <v>4.49</v>
      </c>
    </row>
    <row r="23">
      <c r="A23" t="n">
        <v>70</v>
      </c>
      <c r="B23" s="20" t="n">
        <v>0.23</v>
      </c>
      <c r="C23" t="n">
        <v>11.14</v>
      </c>
    </row>
    <row r="24">
      <c r="A24" t="n">
        <v>90</v>
      </c>
      <c r="B24" s="20" t="n">
        <v>0.304</v>
      </c>
      <c r="C24" t="n">
        <v>17.8</v>
      </c>
    </row>
    <row r="25">
      <c r="A25" t="n">
        <v>120</v>
      </c>
      <c r="B25" s="20" t="n">
        <v>0.35</v>
      </c>
      <c r="C25" t="n">
        <v>23.32</v>
      </c>
    </row>
    <row r="26">
      <c r="A26" t="n">
        <v>310</v>
      </c>
      <c r="B26" s="20" t="n">
        <v>0.4</v>
      </c>
      <c r="C26" t="n">
        <v>38.82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2026-10-05T06:45:48Z</dcterms:created>
  <dcterms:modified xmlns:dcterms="http://purl.org/dc/terms/" xmlns:xsi="http://www.w3.org/2001/XMLSchema-instance" xsi:type="dcterms:W3CDTF">2026-10-05T06:45:48Z</dcterms:modified>
</cp:coreProperties>
</file>