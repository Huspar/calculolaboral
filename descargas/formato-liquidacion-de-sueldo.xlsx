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quidación" sheetId="1" state="visible" r:id="rId1"/>
    <sheet xmlns:r="http://schemas.openxmlformats.org/officeDocument/2006/relationships" name="Parámetros" sheetId="2" state="visible" r:id="rId2"/>
  </sheets>
  <definedNames>
    <definedName name="_xlnm.Print_Area" localSheetId="0">'Liquidación'!$A$1:$E$42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;-&quot;$&quot;#,##0"/>
    <numFmt numFmtId="165" formatCode="&quot;$&quot;#,##0.00"/>
    <numFmt numFmtId="166" formatCode="0.0%"/>
  </numFmts>
  <fonts count="15">
    <font>
      <name val="Calibri"/>
      <family val="2"/>
      <color theme="1"/>
      <sz val="11"/>
      <scheme val="minor"/>
    </font>
    <font>
      <b val="1"/>
      <color rgb="0000382E"/>
      <sz val="12"/>
    </font>
    <font>
      <b val="1"/>
    </font>
    <font>
      <name val="Arial"/>
      <b val="1"/>
      <color rgb="001E293B"/>
      <sz val="12"/>
    </font>
    <font>
      <name val="Arial"/>
      <b val="1"/>
      <color rgb="0000382E"/>
      <sz val="15"/>
    </font>
    <font>
      <name val="Arial"/>
      <color rgb="0064748B"/>
      <sz val="9"/>
    </font>
    <font>
      <name val="Arial"/>
      <color rgb="001E293B"/>
      <sz val="9"/>
    </font>
    <font>
      <name val="Arial"/>
      <b val="1"/>
      <color rgb="0064748B"/>
      <sz val="8"/>
    </font>
    <font>
      <name val="Arial"/>
      <b val="1"/>
      <color rgb="0000382E"/>
      <sz val="8"/>
    </font>
    <font>
      <name val="Arial"/>
      <b val="1"/>
      <color rgb="001E293B"/>
      <sz val="9"/>
    </font>
    <font>
      <name val="Arial"/>
      <b val="1"/>
      <color rgb="001E293B"/>
      <sz val="10"/>
    </font>
    <font>
      <name val="Arial"/>
      <b val="1"/>
      <color rgb="00000000"/>
      <sz val="22"/>
    </font>
    <font>
      <name val="Arial"/>
      <color rgb="001E293B"/>
      <sz val="8"/>
    </font>
    <font>
      <name val="Arial"/>
      <color rgb="0064748B"/>
      <sz val="8"/>
    </font>
    <font>
      <name val="Arial"/>
      <color rgb="0064748B"/>
      <sz val="7"/>
    </font>
  </fonts>
  <fills count="6">
    <fill>
      <patternFill/>
    </fill>
    <fill>
      <patternFill patternType="gray125"/>
    </fill>
    <fill>
      <patternFill patternType="solid">
        <fgColor rgb="00FFFBEA"/>
      </patternFill>
    </fill>
    <fill>
      <patternFill patternType="solid">
        <fgColor rgb="00F1F5F4"/>
      </patternFill>
    </fill>
    <fill>
      <patternFill patternType="solid">
        <fgColor rgb="00E8F0EE"/>
      </patternFill>
    </fill>
    <fill>
      <patternFill patternType="solid">
        <fgColor rgb="00F4F6F5"/>
      </patternFill>
    </fill>
  </fills>
  <borders count="12">
    <border>
      <left/>
      <right/>
      <top/>
      <bottom/>
      <diagonal/>
    </border>
    <border>
      <bottom style="thick">
        <color rgb="0000382E"/>
      </bottom>
    </border>
    <border>
      <bottom style="thin">
        <color rgb="00D7DEE4"/>
      </bottom>
    </border>
    <border>
      <bottom style="medium">
        <color rgb="0000382E"/>
      </bottom>
    </border>
    <border>
      <top style="medium">
        <color rgb="0000382E"/>
      </top>
      <bottom style="medium">
        <color rgb="0000382E"/>
      </bottom>
    </border>
    <border>
      <left style="thick">
        <color rgb="001E293B"/>
      </left>
      <top style="thick">
        <color rgb="001E293B"/>
      </top>
    </border>
    <border>
      <right style="thick">
        <color rgb="001E293B"/>
      </right>
      <top style="thick">
        <color rgb="001E293B"/>
      </top>
    </border>
    <border>
      <left style="thick">
        <color rgb="001E293B"/>
      </left>
    </border>
    <border>
      <right style="thick">
        <color rgb="001E293B"/>
      </right>
    </border>
    <border>
      <left style="thick">
        <color rgb="001E293B"/>
      </left>
      <bottom style="thick">
        <color rgb="001E293B"/>
      </bottom>
    </border>
    <border>
      <right style="thick">
        <color rgb="001E293B"/>
      </right>
      <bottom style="thick">
        <color rgb="001E293B"/>
      </bottom>
    </border>
    <border>
      <top style="thin">
        <color rgb="001E293B"/>
      </top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0" fontId="5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2" borderId="0" applyAlignment="1" pivotButton="0" quotePrefix="0" xfId="0">
      <alignment horizontal="right" vertical="center"/>
    </xf>
    <xf numFmtId="0" fontId="0" fillId="0" borderId="1" pivotButton="0" quotePrefix="0" xfId="0"/>
    <xf numFmtId="0" fontId="7" fillId="3" borderId="2" applyAlignment="1" pivotButton="0" quotePrefix="0" xfId="0">
      <alignment horizontal="left" vertical="center"/>
    </xf>
    <xf numFmtId="0" fontId="6" fillId="2" borderId="2" applyAlignment="1" pivotButton="0" quotePrefix="0" xfId="0">
      <alignment horizontal="right" vertical="center"/>
    </xf>
    <xf numFmtId="164" fontId="6" fillId="2" borderId="2" applyAlignment="1" pivotButton="0" quotePrefix="0" xfId="0">
      <alignment horizontal="right" vertical="center"/>
    </xf>
    <xf numFmtId="0" fontId="8" fillId="4" borderId="3" applyAlignment="1" pivotButton="0" quotePrefix="0" xfId="0">
      <alignment horizontal="left" vertical="center"/>
    </xf>
    <xf numFmtId="0" fontId="8" fillId="4" borderId="3" applyAlignment="1" pivotButton="0" quotePrefix="0" xfId="0">
      <alignment horizontal="right" vertical="center"/>
    </xf>
    <xf numFmtId="0" fontId="6" fillId="0" borderId="2" applyAlignment="1" pivotButton="0" quotePrefix="0" xfId="0">
      <alignment horizontal="left" vertical="center"/>
    </xf>
    <xf numFmtId="164" fontId="6" fillId="0" borderId="2" applyAlignment="1" pivotButton="0" quotePrefix="0" xfId="0">
      <alignment horizontal="right" vertical="center"/>
    </xf>
    <xf numFmtId="0" fontId="9" fillId="3" borderId="2" applyAlignment="1" pivotButton="0" quotePrefix="0" xfId="0">
      <alignment horizontal="left" vertical="center"/>
    </xf>
    <xf numFmtId="164" fontId="9" fillId="3" borderId="2" applyAlignment="1" pivotButton="0" quotePrefix="0" xfId="0">
      <alignment horizontal="right" vertical="center"/>
    </xf>
    <xf numFmtId="0" fontId="10" fillId="0" borderId="4" applyAlignment="1" pivotButton="0" quotePrefix="0" xfId="0">
      <alignment horizontal="left" vertical="center"/>
    </xf>
    <xf numFmtId="164" fontId="10" fillId="0" borderId="4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0" fontId="9" fillId="5" borderId="5" applyAlignment="1" pivotButton="0" quotePrefix="0" xfId="0">
      <alignment horizontal="left" vertical="center" indent="1"/>
    </xf>
    <xf numFmtId="0" fontId="0" fillId="5" borderId="6" pivotButton="0" quotePrefix="0" xfId="0"/>
    <xf numFmtId="164" fontId="11" fillId="5" borderId="7" applyAlignment="1" pivotButton="0" quotePrefix="0" xfId="0">
      <alignment horizontal="center" vertical="center"/>
    </xf>
    <xf numFmtId="0" fontId="0" fillId="5" borderId="8" pivotButton="0" quotePrefix="0" xfId="0"/>
    <xf numFmtId="0" fontId="0" fillId="5" borderId="7" pivotButton="0" quotePrefix="0" xfId="0"/>
    <xf numFmtId="0" fontId="12" fillId="5" borderId="9" applyAlignment="1" pivotButton="0" quotePrefix="0" xfId="0">
      <alignment horizontal="center" vertical="center"/>
    </xf>
    <xf numFmtId="0" fontId="0" fillId="5" borderId="10" pivotButton="0" quotePrefix="0" xfId="0"/>
    <xf numFmtId="0" fontId="13" fillId="0" borderId="0" applyAlignment="1" pivotButton="0" quotePrefix="0" xfId="0">
      <alignment vertical="top" wrapText="1"/>
    </xf>
    <xf numFmtId="0" fontId="13" fillId="0" borderId="11" applyAlignment="1" pivotButton="0" quotePrefix="0" xfId="0">
      <alignment horizontal="center"/>
    </xf>
    <xf numFmtId="0" fontId="0" fillId="0" borderId="11" pivotButton="0" quotePrefix="0" xfId="0"/>
    <xf numFmtId="0" fontId="14" fillId="0" borderId="0" applyAlignment="1" pivotButton="0" quotePrefix="0" xfId="0">
      <alignment horizontal="center" wrapText="1"/>
    </xf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1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42"/>
  <sheetViews>
    <sheetView showGridLines="0"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2.5" customWidth="1" min="3" max="3"/>
    <col width="31" customWidth="1" min="4" max="4"/>
    <col width="15" customWidth="1" min="5" max="5"/>
  </cols>
  <sheetData>
    <row r="1" ht="22" customHeight="1">
      <c r="A1" s="1" t="inlineStr">
        <is>
          <t>[Razón social de la empresa]</t>
        </is>
      </c>
      <c r="D1" s="2" t="inlineStr">
        <is>
          <t>LIQUIDACIÓN DE SUELDO</t>
        </is>
      </c>
    </row>
    <row r="2">
      <c r="A2" s="3" t="inlineStr">
        <is>
          <t xml:space="preserve">RUT: </t>
        </is>
      </c>
      <c r="D2" s="4" t="inlineStr">
        <is>
          <t>Período</t>
        </is>
      </c>
      <c r="E2" s="5" t="inlineStr">
        <is>
          <t>Octubre 2026</t>
        </is>
      </c>
    </row>
    <row r="3">
      <c r="A3" s="3" t="inlineStr">
        <is>
          <t xml:space="preserve">Dirección: </t>
        </is>
      </c>
    </row>
    <row r="4" ht="6" customHeight="1">
      <c r="A4" s="6" t="n"/>
      <c r="B4" s="6" t="n"/>
      <c r="C4" s="6" t="n"/>
      <c r="D4" s="6" t="n"/>
      <c r="E4" s="6" t="n"/>
    </row>
    <row r="6" ht="17" customHeight="1">
      <c r="A6" s="7" t="inlineStr">
        <is>
          <t>Nombre del trabajador</t>
        </is>
      </c>
      <c r="B6" s="8" t="inlineStr"/>
      <c r="D6" s="7" t="inlineStr">
        <is>
          <t>RUT trabajador</t>
        </is>
      </c>
      <c r="E6" s="8" t="inlineStr"/>
    </row>
    <row r="7" ht="17" customHeight="1">
      <c r="A7" s="7" t="inlineStr">
        <is>
          <t>Cargo</t>
        </is>
      </c>
      <c r="B7" s="8" t="inlineStr"/>
      <c r="D7" s="7" t="inlineStr">
        <is>
          <t>Fecha de ingreso</t>
        </is>
      </c>
      <c r="E7" s="8" t="inlineStr"/>
    </row>
    <row r="8" ht="17" customHeight="1">
      <c r="A8" s="7" t="inlineStr">
        <is>
          <t>Tipo de contrato</t>
        </is>
      </c>
      <c r="B8" s="8" t="inlineStr">
        <is>
          <t>Indefinido</t>
        </is>
      </c>
      <c r="D8" s="7" t="inlineStr">
        <is>
          <t>AFP</t>
        </is>
      </c>
      <c r="E8" s="8" t="inlineStr">
        <is>
          <t>Modelo</t>
        </is>
      </c>
    </row>
    <row r="9" ht="17" customHeight="1">
      <c r="A9" s="7" t="inlineStr">
        <is>
          <t>Sistema de salud</t>
        </is>
      </c>
      <c r="B9" s="8" t="inlineStr">
        <is>
          <t>Fonasa</t>
        </is>
      </c>
      <c r="D9" s="7" t="inlineStr">
        <is>
          <t>Plan Isapre en pesos (si aplica)</t>
        </is>
      </c>
      <c r="E9" s="9" t="n">
        <v>0</v>
      </c>
    </row>
    <row r="10" ht="17" customHeight="1">
      <c r="A10" s="7" t="inlineStr">
        <is>
          <t>Días trabajados</t>
        </is>
      </c>
      <c r="B10" s="8" t="n">
        <v>30</v>
      </c>
      <c r="D10" s="7" t="inlineStr">
        <is>
          <t>Jornada semanal</t>
        </is>
      </c>
      <c r="E10" s="8" t="inlineStr">
        <is>
          <t>42 horas</t>
        </is>
      </c>
    </row>
    <row r="12" ht="17" customHeight="1">
      <c r="A12" s="10" t="inlineStr">
        <is>
          <t>HABERES IMPONIBLES</t>
        </is>
      </c>
      <c r="B12" s="11" t="inlineStr">
        <is>
          <t>MONTO</t>
        </is>
      </c>
      <c r="D12" s="10" t="inlineStr">
        <is>
          <t>DESCUENTOS LEGALES</t>
        </is>
      </c>
      <c r="E12" s="11" t="inlineStr">
        <is>
          <t>MONTO</t>
        </is>
      </c>
    </row>
    <row r="13" ht="17" customHeight="1">
      <c r="A13" s="12" t="inlineStr">
        <is>
          <t>Sueldo base</t>
        </is>
      </c>
      <c r="B13" s="9" t="n">
        <v>553553</v>
      </c>
      <c r="D13" s="12" t="inlineStr">
        <is>
          <t>AFP (10% + comisión)</t>
        </is>
      </c>
      <c r="E13" s="13">
        <f>ROUND(MIN(B19,'Parámetros'!$B$5*'Parámetros'!$B$4)*VLOOKUP(E8,'Parámetros'!$A$10:$B$16,2,FALSE),0)</f>
        <v/>
      </c>
    </row>
    <row r="14" ht="17" customHeight="1">
      <c r="A14" s="12" t="inlineStr">
        <is>
          <t>Gratificación</t>
        </is>
      </c>
      <c r="B14" s="9" t="n">
        <v>0</v>
      </c>
      <c r="D14" s="12" t="inlineStr">
        <is>
          <t>Salud (7% o plan Isapre)</t>
        </is>
      </c>
      <c r="E14" s="13">
        <f>IF(B9="Isapre",MAX(ROUND(MIN(B19,'Parámetros'!$B$5*'Parámetros'!$B$4)*0.07,0),E9),ROUND(MIN(B19,'Parámetros'!$B$5*'Parámetros'!$B$4)*0.07,0))</f>
        <v/>
      </c>
    </row>
    <row r="15" ht="17" customHeight="1">
      <c r="A15" s="12" t="inlineStr">
        <is>
          <t>Horas extra</t>
        </is>
      </c>
      <c r="B15" s="9" t="n">
        <v>0</v>
      </c>
      <c r="D15" s="12" t="inlineStr">
        <is>
          <t>Seguro de cesantía (0,6%)</t>
        </is>
      </c>
      <c r="E15" s="13">
        <f>IF(B8="Indefinido",ROUND(MIN(B19,'Parámetros'!$B$6*'Parámetros'!$B$4)*0.006,0),0)</f>
        <v/>
      </c>
    </row>
    <row r="16" ht="17" customHeight="1">
      <c r="A16" s="12" t="inlineStr">
        <is>
          <t>Comisiones</t>
        </is>
      </c>
      <c r="B16" s="9" t="n">
        <v>0</v>
      </c>
      <c r="D16" s="12" t="inlineStr">
        <is>
          <t>Impuesto único</t>
        </is>
      </c>
      <c r="E16" s="13">
        <f>MAX(0,ROUND((B19-E13-MIN(E14,ROUND(0.07*'Parámetros'!$B$5*'Parámetros'!$B$4,0))-E15)*LOOKUP((B19-E13-MIN(E14,ROUND(0.07*'Parámetros'!$B$5*'Parámetros'!$B$4,0))-E15)/'Parámetros'!$B$3,'Parámetros'!$A$19:$A$26,'Parámetros'!$B$19:$B$26)-LOOKUP((B19-E13-MIN(E14,ROUND(0.07*'Parámetros'!$B$5*'Parámetros'!$B$4,0))-E15)/'Parámetros'!$B$3,'Parámetros'!$A$19:$A$26,'Parámetros'!$C$19:$C$26)*'Parámetros'!$B$3,0))</f>
        <v/>
      </c>
    </row>
    <row r="17" ht="17" customHeight="1">
      <c r="A17" s="12" t="inlineStr">
        <is>
          <t>Bonos</t>
        </is>
      </c>
      <c r="B17" s="9" t="n">
        <v>0</v>
      </c>
      <c r="D17" s="14" t="inlineStr">
        <is>
          <t>Total descuentos legales</t>
        </is>
      </c>
      <c r="E17" s="15">
        <f>SUM(E13:E16)</f>
        <v/>
      </c>
    </row>
    <row r="18" ht="17" customHeight="1">
      <c r="A18" s="12" t="inlineStr">
        <is>
          <t>Semana corrida</t>
        </is>
      </c>
      <c r="B18" s="9" t="n">
        <v>0</v>
      </c>
      <c r="D18" s="10" t="inlineStr">
        <is>
          <t>OTROS DESCUENTOS</t>
        </is>
      </c>
      <c r="E18" s="11" t="inlineStr">
        <is>
          <t>MONTO</t>
        </is>
      </c>
    </row>
    <row r="19" ht="17" customHeight="1">
      <c r="A19" s="14" t="inlineStr">
        <is>
          <t>Total imponible</t>
        </is>
      </c>
      <c r="B19" s="15">
        <f>SUM(B13:B18)</f>
        <v/>
      </c>
      <c r="D19" s="12" t="inlineStr">
        <is>
          <t>Anticipo de sueldo</t>
        </is>
      </c>
      <c r="E19" s="9" t="n">
        <v>0</v>
      </c>
    </row>
    <row r="20" ht="17" customHeight="1">
      <c r="A20" s="10" t="inlineStr">
        <is>
          <t>HABERES NO IMPONIBLES</t>
        </is>
      </c>
      <c r="B20" s="11" t="inlineStr">
        <is>
          <t>MONTO</t>
        </is>
      </c>
      <c r="D20" s="12" t="inlineStr">
        <is>
          <t>Cuota sindical</t>
        </is>
      </c>
      <c r="E20" s="9" t="n">
        <v>0</v>
      </c>
    </row>
    <row r="21" ht="17" customHeight="1">
      <c r="A21" s="12" t="inlineStr">
        <is>
          <t>Colación</t>
        </is>
      </c>
      <c r="B21" s="9" t="n">
        <v>0</v>
      </c>
      <c r="D21" s="12" t="inlineStr">
        <is>
          <t>Préstamo caja de compensación</t>
        </is>
      </c>
      <c r="E21" s="9" t="n">
        <v>0</v>
      </c>
    </row>
    <row r="22" ht="17" customHeight="1">
      <c r="A22" s="12" t="inlineStr">
        <is>
          <t>Movilización</t>
        </is>
      </c>
      <c r="B22" s="9" t="n">
        <v>0</v>
      </c>
      <c r="D22" s="12" t="inlineStr">
        <is>
          <t>Otros descuentos autorizados</t>
        </is>
      </c>
      <c r="E22" s="9" t="n">
        <v>0</v>
      </c>
    </row>
    <row r="23" ht="17" customHeight="1">
      <c r="A23" s="12" t="inlineStr">
        <is>
          <t>Viáticos</t>
        </is>
      </c>
      <c r="B23" s="9" t="n">
        <v>0</v>
      </c>
      <c r="D23" s="14" t="inlineStr">
        <is>
          <t>Total otros descuentos</t>
        </is>
      </c>
      <c r="E23" s="15">
        <f>SUM(E19:E22)</f>
        <v/>
      </c>
    </row>
    <row r="24" ht="17" customHeight="1">
      <c r="A24" s="12" t="inlineStr">
        <is>
          <t>Asignación familiar</t>
        </is>
      </c>
      <c r="B24" s="9" t="n">
        <v>0</v>
      </c>
    </row>
    <row r="25" ht="17" customHeight="1">
      <c r="A25" s="14" t="inlineStr">
        <is>
          <t>Total no imponible</t>
        </is>
      </c>
      <c r="B25" s="15">
        <f>SUM(B21:B24)</f>
        <v/>
      </c>
    </row>
    <row r="26" ht="17" customHeight="1"/>
    <row r="27" ht="20" customHeight="1">
      <c r="A27" s="16" t="inlineStr">
        <is>
          <t>TOTAL HABERES</t>
        </is>
      </c>
      <c r="B27" s="17">
        <f>B19+B25</f>
        <v/>
      </c>
      <c r="D27" s="16" t="inlineStr">
        <is>
          <t>TOTAL DESCUENTOS</t>
        </is>
      </c>
      <c r="E27" s="17">
        <f>E17+E23</f>
        <v/>
      </c>
    </row>
    <row r="29">
      <c r="A29" s="18" t="inlineStr">
        <is>
          <t>BASES DE CÁLCULO</t>
        </is>
      </c>
      <c r="D29" s="19" t="inlineStr">
        <is>
          <t>LÍQUIDO A PAGAR</t>
        </is>
      </c>
      <c r="E29" s="20" t="n"/>
    </row>
    <row r="30">
      <c r="A30" s="12" t="inlineStr">
        <is>
          <t>Base imponible AFP y salud</t>
        </is>
      </c>
      <c r="B30" s="13">
        <f>MIN(B19,'Parámetros'!$B$5*'Parámetros'!$B$4)</f>
        <v/>
      </c>
      <c r="D30" s="21">
        <f>B27-E27</f>
        <v/>
      </c>
      <c r="E30" s="22" t="n"/>
    </row>
    <row r="31">
      <c r="A31" s="12" t="inlineStr">
        <is>
          <t>Base seguro de cesantía</t>
        </is>
      </c>
      <c r="B31" s="13">
        <f>IF(B8="Indefinido",MIN(B19,'Parámetros'!$B$6*'Parámetros'!$B$4),0)</f>
        <v/>
      </c>
      <c r="D31" s="23" t="n"/>
      <c r="E31" s="22" t="n"/>
    </row>
    <row r="32">
      <c r="A32" s="12" t="inlineStr">
        <is>
          <t>Base tributable (impuesto único)</t>
        </is>
      </c>
      <c r="B32" s="13">
        <f>(B19-E13-MIN(E14,ROUND(0.07*'Parámetros'!$B$5*'Parámetros'!$B$4,0))-E15)</f>
        <v/>
      </c>
      <c r="D32" s="23" t="n"/>
      <c r="E32" s="22" t="n"/>
    </row>
    <row r="33">
      <c r="A33" s="12" t="inlineStr">
        <is>
          <t>Valor UTM</t>
        </is>
      </c>
      <c r="B33" s="13">
        <f>'Parámetros'!$B$3</f>
        <v/>
      </c>
      <c r="D33" s="24" t="inlineStr">
        <is>
          <t>Son: ____________________________ pesos</t>
        </is>
      </c>
      <c r="E33" s="25" t="n"/>
    </row>
    <row r="36" ht="26" customHeight="1">
      <c r="A36" s="26" t="inlineStr">
        <is>
          <t>Certifico que he recibido de mi empleador, a mi entera satisfacción, el líquido a pagar indicado en esta liquidación y que no tengo cargo ni cobro alguno que hacer por los conceptos que comprende.</t>
        </is>
      </c>
    </row>
    <row r="40">
      <c r="A40" s="27" t="inlineStr">
        <is>
          <t>Firma y timbre del empleador</t>
        </is>
      </c>
      <c r="B40" s="28" t="n"/>
      <c r="D40" s="27" t="inlineStr">
        <is>
          <t>Firma del trabajador</t>
        </is>
      </c>
      <c r="E40" s="28" t="n"/>
    </row>
    <row r="42" ht="22" customHeight="1">
      <c r="A42" s="29" t="inlineStr">
        <is>
          <t>Las celdas amarillas se llenan a mano; el resto se calcula solo. Formato gratuito de calculolaboral.cl/liquidacion-de-sueldo. Es un modelo de referencia; revisa los valores con tu contrato.</t>
        </is>
      </c>
    </row>
  </sheetData>
  <mergeCells count="8">
    <mergeCell ref="D1:E1"/>
    <mergeCell ref="D33:E33"/>
    <mergeCell ref="D29:E29"/>
    <mergeCell ref="A42:E42"/>
    <mergeCell ref="A36:E36"/>
    <mergeCell ref="A40:B40"/>
    <mergeCell ref="D40:E40"/>
    <mergeCell ref="D30:E32"/>
  </mergeCells>
  <dataValidations count="3">
    <dataValidation sqref="B8" showDropDown="0" showInputMessage="0" showErrorMessage="0" allowBlank="0" type="list">
      <formula1>"Indefinido,Plazo fijo"</formula1>
    </dataValidation>
    <dataValidation sqref="E8" showDropDown="0" showInputMessage="0" showErrorMessage="0" allowBlank="0" type="list">
      <formula1>='Parámetros'!$A$10:$A$16</formula1>
    </dataValidation>
    <dataValidation sqref="B9" showDropDown="0" showInputMessage="0" showErrorMessage="0" allowBlank="0" type="list">
      <formula1>"Fonasa,Isapre"</formula1>
    </dataValidation>
  </dataValidations>
  <printOptions horizontalCentered="1"/>
  <pageMargins left="0.5" right="0.5" top="0.6" bottom="0.6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26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14" customWidth="1" min="3" max="3"/>
  </cols>
  <sheetData>
    <row r="1">
      <c r="A1" s="30" t="inlineStr">
        <is>
          <t>Parámetros octubre 2026 (actualízalos cuando cambien)</t>
        </is>
      </c>
    </row>
    <row r="3">
      <c r="A3" t="inlineStr">
        <is>
          <t>UTM del mes</t>
        </is>
      </c>
      <c r="B3" s="31" t="n">
        <v>72151</v>
      </c>
    </row>
    <row r="4">
      <c r="A4" t="inlineStr">
        <is>
          <t>UF del último día del mes anterior</t>
        </is>
      </c>
      <c r="B4" s="32" t="n">
        <v>41057.2</v>
      </c>
    </row>
    <row r="5">
      <c r="A5" t="inlineStr">
        <is>
          <t>Tope imponible AFP y salud (UF)</t>
        </is>
      </c>
      <c r="B5" t="n">
        <v>90</v>
      </c>
    </row>
    <row r="6">
      <c r="A6" t="inlineStr">
        <is>
          <t>Tope imponible seguro de cesantía (UF)</t>
        </is>
      </c>
      <c r="B6" t="n">
        <v>135.2</v>
      </c>
    </row>
    <row r="7">
      <c r="A7" t="inlineStr">
        <is>
          <t>Ingreso mínimo mensual</t>
        </is>
      </c>
      <c r="B7" s="31" t="n">
        <v>553553</v>
      </c>
    </row>
    <row r="9">
      <c r="A9" s="33" t="inlineStr">
        <is>
          <t>AFP</t>
        </is>
      </c>
      <c r="B9" s="33" t="inlineStr">
        <is>
          <t>Tasa total (10% + comisión)</t>
        </is>
      </c>
    </row>
    <row r="10">
      <c r="A10" t="inlineStr">
        <is>
          <t>Uno</t>
        </is>
      </c>
      <c r="B10" s="34" t="n">
        <v>0.1046</v>
      </c>
    </row>
    <row r="11">
      <c r="A11" t="inlineStr">
        <is>
          <t>Modelo</t>
        </is>
      </c>
      <c r="B11" s="34" t="n">
        <v>0.1058</v>
      </c>
    </row>
    <row r="12">
      <c r="A12" t="inlineStr">
        <is>
          <t>PlanVital</t>
        </is>
      </c>
      <c r="B12" s="34" t="n">
        <v>0.1116</v>
      </c>
    </row>
    <row r="13">
      <c r="A13" t="inlineStr">
        <is>
          <t>Habitat</t>
        </is>
      </c>
      <c r="B13" s="34" t="n">
        <v>0.1127</v>
      </c>
    </row>
    <row r="14">
      <c r="A14" t="inlineStr">
        <is>
          <t>Capital</t>
        </is>
      </c>
      <c r="B14" s="34" t="n">
        <v>0.1144</v>
      </c>
    </row>
    <row r="15">
      <c r="A15" t="inlineStr">
        <is>
          <t>Cuprum</t>
        </is>
      </c>
      <c r="B15" s="34" t="n">
        <v>0.1144</v>
      </c>
    </row>
    <row r="16">
      <c r="A16" t="inlineStr">
        <is>
          <t>Provida</t>
        </is>
      </c>
      <c r="B16" s="34" t="n">
        <v>0.1145</v>
      </c>
    </row>
    <row r="18">
      <c r="A18" s="33" t="inlineStr">
        <is>
          <t>Impuesto único: desde (UTM)</t>
        </is>
      </c>
      <c r="B18" s="33" t="inlineStr">
        <is>
          <t>Factor</t>
        </is>
      </c>
      <c r="C18" s="33" t="inlineStr">
        <is>
          <t>Rebaja (UTM)</t>
        </is>
      </c>
    </row>
    <row r="19">
      <c r="A19" t="n">
        <v>0</v>
      </c>
      <c r="B19" s="35" t="n">
        <v>0</v>
      </c>
      <c r="C19" t="n">
        <v>0</v>
      </c>
    </row>
    <row r="20">
      <c r="A20" t="n">
        <v>13.5</v>
      </c>
      <c r="B20" s="35" t="n">
        <v>0.04</v>
      </c>
      <c r="C20" t="n">
        <v>0.54</v>
      </c>
    </row>
    <row r="21">
      <c r="A21" t="n">
        <v>30</v>
      </c>
      <c r="B21" s="35" t="n">
        <v>0.08</v>
      </c>
      <c r="C21" t="n">
        <v>1.74</v>
      </c>
    </row>
    <row r="22">
      <c r="A22" t="n">
        <v>50</v>
      </c>
      <c r="B22" s="35" t="n">
        <v>0.135</v>
      </c>
      <c r="C22" t="n">
        <v>4.49</v>
      </c>
    </row>
    <row r="23">
      <c r="A23" t="n">
        <v>70</v>
      </c>
      <c r="B23" s="35" t="n">
        <v>0.23</v>
      </c>
      <c r="C23" t="n">
        <v>11.14</v>
      </c>
    </row>
    <row r="24">
      <c r="A24" t="n">
        <v>90</v>
      </c>
      <c r="B24" s="35" t="n">
        <v>0.304</v>
      </c>
      <c r="C24" t="n">
        <v>17.8</v>
      </c>
    </row>
    <row r="25">
      <c r="A25" t="n">
        <v>120</v>
      </c>
      <c r="B25" s="35" t="n">
        <v>0.35</v>
      </c>
      <c r="C25" t="n">
        <v>23.32</v>
      </c>
    </row>
    <row r="26">
      <c r="A26" t="n">
        <v>310</v>
      </c>
      <c r="B26" s="35" t="n">
        <v>0.4</v>
      </c>
      <c r="C26" t="n">
        <v>38.82</v>
      </c>
    </row>
  </sheetData>
  <pageMargins left="0.75" right="0.75" top="1" bottom="1" header="0.5" footer="0.5"/>
  <pageSetup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2026-10-13T14:57:17Z</dcterms:created>
  <dcterms:modified xmlns:dcterms="http://purl.org/dc/terms/" xmlns:xsi="http://www.w3.org/2001/XMLSchema-instance" xsi:type="dcterms:W3CDTF">2026-10-13T14:57:17Z</dcterms:modified>
</cp:coreProperties>
</file>